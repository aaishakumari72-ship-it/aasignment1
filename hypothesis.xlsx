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8_{23A890C3-DD08-4C5F-A9FF-777EF9B8EFA8}" xr6:coauthVersionLast="47" xr6:coauthVersionMax="47" xr10:uidLastSave="{00000000-0000-0000-0000-000000000000}"/>
  <bookViews>
    <workbookView xWindow="-108" yWindow="-108" windowWidth="23256" windowHeight="12456" xr2:uid="{48A90507-320D-4BF5-B030-31BC38A43C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4" i="1" l="1"/>
  <c r="H120" i="1"/>
  <c r="C131" i="1" s="1"/>
  <c r="H119" i="1"/>
  <c r="F119" i="1"/>
  <c r="H118" i="1"/>
  <c r="F118" i="1"/>
  <c r="H117" i="1"/>
  <c r="F117" i="1"/>
  <c r="H116" i="1"/>
  <c r="F116" i="1"/>
  <c r="D110" i="1"/>
  <c r="D109" i="1"/>
  <c r="D108" i="1"/>
  <c r="D107" i="1"/>
  <c r="C77" i="1"/>
  <c r="B67" i="1"/>
  <c r="C55" i="1"/>
  <c r="C54" i="1"/>
  <c r="E47" i="1"/>
  <c r="E46" i="1"/>
  <c r="E45" i="1"/>
  <c r="E44" i="1"/>
  <c r="E43" i="1"/>
  <c r="E42" i="1"/>
  <c r="B50" i="1" s="1"/>
  <c r="B63" i="1" s="1"/>
  <c r="C76" i="1" s="1"/>
  <c r="D20" i="1"/>
  <c r="B20" i="1"/>
  <c r="C22" i="1" s="1"/>
  <c r="B25" i="1" s="1"/>
</calcChain>
</file>

<file path=xl/sharedStrings.xml><?xml version="1.0" encoding="utf-8"?>
<sst xmlns="http://schemas.openxmlformats.org/spreadsheetml/2006/main" count="108" uniqueCount="83">
  <si>
    <t>Question 7: The productivity of 6 employees was measured before and after a training program</t>
  </si>
  <si>
    <t>Employee</t>
  </si>
  <si>
    <t>Before</t>
  </si>
  <si>
    <t>After</t>
  </si>
  <si>
    <t>At α = 0.05, test if the training improved productivity.</t>
  </si>
  <si>
    <t>EXCEL FORMULA</t>
  </si>
  <si>
    <t xml:space="preserve">Step .1 - </t>
  </si>
  <si>
    <t>Frame Hypothesis</t>
  </si>
  <si>
    <t>null - The training did not improve productivity</t>
  </si>
  <si>
    <t>alternate - The training improve productivity</t>
  </si>
  <si>
    <t xml:space="preserve">Step.2 - </t>
  </si>
  <si>
    <t>Use the Paired t-test Formula</t>
  </si>
  <si>
    <t xml:space="preserve">p value </t>
  </si>
  <si>
    <t>alpha</t>
  </si>
  <si>
    <t>p value is less than alpha</t>
  </si>
  <si>
    <t>reject null hupothesis</t>
  </si>
  <si>
    <t>accept alternate hypothesis</t>
  </si>
  <si>
    <t>The Training actally improved Productive.</t>
  </si>
  <si>
    <t>MANUAL FORMULA</t>
  </si>
  <si>
    <t>Step.1 -</t>
  </si>
  <si>
    <t>Step.2 -</t>
  </si>
  <si>
    <t>Calculate difference (After-Before)</t>
  </si>
  <si>
    <t>difference</t>
  </si>
  <si>
    <t xml:space="preserve">step.3 - </t>
  </si>
  <si>
    <t xml:space="preserve">mean of difference </t>
  </si>
  <si>
    <t xml:space="preserve">Step.4 - </t>
  </si>
  <si>
    <t>standard deviation of difference</t>
  </si>
  <si>
    <t>std</t>
  </si>
  <si>
    <t>variance</t>
  </si>
  <si>
    <t xml:space="preserve">Step.5 - </t>
  </si>
  <si>
    <t>Paired t-test Formula</t>
  </si>
  <si>
    <t>mean of difference (d bar )/sd/sqrt(n)</t>
  </si>
  <si>
    <t>" 3/(1.788854/sqrt(6)"</t>
  </si>
  <si>
    <t>Step.6 -</t>
  </si>
  <si>
    <t>degree of  freedom</t>
  </si>
  <si>
    <t>n-1</t>
  </si>
  <si>
    <t>Step.7 -</t>
  </si>
  <si>
    <t>t tabular</t>
  </si>
  <si>
    <t>df</t>
  </si>
  <si>
    <t>tail</t>
  </si>
  <si>
    <t>two tail</t>
  </si>
  <si>
    <t xml:space="preserve">Step.8 - </t>
  </si>
  <si>
    <t>compare and decide</t>
  </si>
  <si>
    <t>t cal</t>
  </si>
  <si>
    <t>t tab</t>
  </si>
  <si>
    <t>t cal &gt; t tab</t>
  </si>
  <si>
    <t>reject null hypothesis</t>
  </si>
  <si>
    <r>
      <rPr>
        <b/>
        <sz val="11"/>
        <color theme="1"/>
        <rFont val="Calibri"/>
        <family val="2"/>
        <scheme val="minor"/>
      </rPr>
      <t>Question 8: A company wants to test if product preference is independent of gender</t>
    </r>
    <r>
      <rPr>
        <sz val="11"/>
        <color theme="1"/>
        <rFont val="Calibri"/>
        <family val="2"/>
        <scheme val="minor"/>
      </rPr>
      <t>.</t>
    </r>
  </si>
  <si>
    <t>Gender</t>
  </si>
  <si>
    <t>Product A</t>
  </si>
  <si>
    <t>Product B</t>
  </si>
  <si>
    <t>Total</t>
  </si>
  <si>
    <t>Male</t>
  </si>
  <si>
    <t>Female</t>
  </si>
  <si>
    <t>At α = 0.05, test independence</t>
  </si>
  <si>
    <t>null - Product preference is independent of gender</t>
  </si>
  <si>
    <t>alternate- Product preference is not intependent of gender</t>
  </si>
  <si>
    <t>Expected frequencies</t>
  </si>
  <si>
    <t>Expected-</t>
  </si>
  <si>
    <t>(row total) / (column total) / Grand Total</t>
  </si>
  <si>
    <t>Expected</t>
  </si>
  <si>
    <t xml:space="preserve">Gender </t>
  </si>
  <si>
    <t>Male Product A</t>
  </si>
  <si>
    <t>MaleProduct B</t>
  </si>
  <si>
    <t>Female Product A</t>
  </si>
  <si>
    <t>Female Product B</t>
  </si>
  <si>
    <t xml:space="preserve">Step.3 - </t>
  </si>
  <si>
    <t>Chi square Formula</t>
  </si>
  <si>
    <t>summation(o-e)^2/e</t>
  </si>
  <si>
    <t>o</t>
  </si>
  <si>
    <t>e</t>
  </si>
  <si>
    <t>(o-e)</t>
  </si>
  <si>
    <t>(o-e)^2</t>
  </si>
  <si>
    <t>(o-e)^2/e</t>
  </si>
  <si>
    <t>Male Product B</t>
  </si>
  <si>
    <t>degree of freedom</t>
  </si>
  <si>
    <t>(no. of rows-1)*(no. of column-1)</t>
  </si>
  <si>
    <t>critical chi square</t>
  </si>
  <si>
    <t>chi square table</t>
  </si>
  <si>
    <t>calculated</t>
  </si>
  <si>
    <t>critical</t>
  </si>
  <si>
    <t>cal &gt; cri</t>
  </si>
  <si>
    <t>since Gender and Product are related.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</si>
</sst>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/>
    <xf numFmtId="0" fontId="1" fillId="0" borderId="1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6D9D6-A36A-4E64-A6CD-48E52B071281}">
  <dimension ref="A1:I139"/>
  <sheetViews>
    <sheetView tabSelected="1" topLeftCell="A42" workbookViewId="0">
      <selection activeCell="M14" sqref="M14"/>
    </sheetView>
  </sheetViews>
  <sheetFormatPr defaultRowHeight="14.4" x14ac:dyDescent="0.3"/>
  <sheetData>
    <row r="1" spans="1:9" x14ac:dyDescent="0.3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9" x14ac:dyDescent="0.3">
      <c r="A3" s="2" t="s">
        <v>1</v>
      </c>
      <c r="B3" s="2" t="s">
        <v>2</v>
      </c>
      <c r="C3" s="2" t="s">
        <v>3</v>
      </c>
    </row>
    <row r="4" spans="1:9" x14ac:dyDescent="0.3">
      <c r="A4" s="3">
        <v>1</v>
      </c>
      <c r="B4" s="3">
        <v>50</v>
      </c>
      <c r="C4" s="3">
        <v>55</v>
      </c>
    </row>
    <row r="5" spans="1:9" x14ac:dyDescent="0.3">
      <c r="A5" s="3">
        <v>2</v>
      </c>
      <c r="B5" s="3">
        <v>60</v>
      </c>
      <c r="C5" s="3">
        <v>65</v>
      </c>
    </row>
    <row r="6" spans="1:9" x14ac:dyDescent="0.3">
      <c r="A6" s="3">
        <v>3</v>
      </c>
      <c r="B6" s="3">
        <v>58</v>
      </c>
      <c r="C6" s="3">
        <v>59</v>
      </c>
    </row>
    <row r="7" spans="1:9" x14ac:dyDescent="0.3">
      <c r="A7" s="3">
        <v>4</v>
      </c>
      <c r="B7" s="3">
        <v>55</v>
      </c>
      <c r="C7" s="3">
        <v>58</v>
      </c>
    </row>
    <row r="8" spans="1:9" x14ac:dyDescent="0.3">
      <c r="A8" s="3">
        <v>5</v>
      </c>
      <c r="B8" s="3">
        <v>62</v>
      </c>
      <c r="C8" s="3">
        <v>63</v>
      </c>
    </row>
    <row r="9" spans="1:9" x14ac:dyDescent="0.3">
      <c r="A9" s="4">
        <v>6</v>
      </c>
      <c r="B9" s="4">
        <v>56</v>
      </c>
      <c r="C9" s="4">
        <v>59</v>
      </c>
    </row>
    <row r="10" spans="1:9" x14ac:dyDescent="0.3">
      <c r="A10" s="1" t="s">
        <v>4</v>
      </c>
    </row>
    <row r="12" spans="1:9" x14ac:dyDescent="0.3">
      <c r="B12" s="1" t="s">
        <v>5</v>
      </c>
    </row>
    <row r="14" spans="1:9" x14ac:dyDescent="0.3">
      <c r="A14" t="s">
        <v>6</v>
      </c>
      <c r="B14" t="s">
        <v>7</v>
      </c>
    </row>
    <row r="15" spans="1:9" x14ac:dyDescent="0.3">
      <c r="B15" t="s">
        <v>8</v>
      </c>
    </row>
    <row r="16" spans="1:9" x14ac:dyDescent="0.3">
      <c r="B16" t="s">
        <v>9</v>
      </c>
    </row>
    <row r="18" spans="1:4" x14ac:dyDescent="0.3">
      <c r="A18" t="s">
        <v>10</v>
      </c>
      <c r="B18" t="s">
        <v>11</v>
      </c>
    </row>
    <row r="20" spans="1:4" x14ac:dyDescent="0.3">
      <c r="B20">
        <f>_xlfn.T.TEST(B4:B9,C4:C9,2,1)</f>
        <v>9.2827050347379352E-3</v>
      </c>
      <c r="D20">
        <f>_xlfn.T.TEST(B4:B9,C4:C9,2,1)</f>
        <v>9.2827050347379352E-3</v>
      </c>
    </row>
    <row r="22" spans="1:4" x14ac:dyDescent="0.3">
      <c r="B22" t="s">
        <v>12</v>
      </c>
      <c r="C22">
        <f>B20</f>
        <v>9.2827050347379352E-3</v>
      </c>
    </row>
    <row r="23" spans="1:4" x14ac:dyDescent="0.3">
      <c r="B23" t="s">
        <v>13</v>
      </c>
      <c r="C23">
        <v>0.05</v>
      </c>
    </row>
    <row r="25" spans="1:4" x14ac:dyDescent="0.3">
      <c r="B25" t="b">
        <f>C22&lt;C23</f>
        <v>1</v>
      </c>
      <c r="C25" t="s">
        <v>14</v>
      </c>
    </row>
    <row r="27" spans="1:4" x14ac:dyDescent="0.3">
      <c r="C27" t="s">
        <v>15</v>
      </c>
    </row>
    <row r="28" spans="1:4" x14ac:dyDescent="0.3">
      <c r="C28" t="s">
        <v>16</v>
      </c>
    </row>
    <row r="30" spans="1:4" x14ac:dyDescent="0.3">
      <c r="B30" t="s">
        <v>17</v>
      </c>
    </row>
    <row r="33" spans="1:5" x14ac:dyDescent="0.3">
      <c r="B33" s="1" t="s">
        <v>18</v>
      </c>
    </row>
    <row r="35" spans="1:5" x14ac:dyDescent="0.3">
      <c r="A35" t="s">
        <v>19</v>
      </c>
      <c r="B35" t="s">
        <v>7</v>
      </c>
    </row>
    <row r="36" spans="1:5" x14ac:dyDescent="0.3">
      <c r="B36" t="s">
        <v>8</v>
      </c>
    </row>
    <row r="37" spans="1:5" x14ac:dyDescent="0.3">
      <c r="B37" t="s">
        <v>9</v>
      </c>
    </row>
    <row r="39" spans="1:5" x14ac:dyDescent="0.3">
      <c r="A39" t="s">
        <v>20</v>
      </c>
      <c r="B39" t="s">
        <v>21</v>
      </c>
    </row>
    <row r="41" spans="1:5" x14ac:dyDescent="0.3">
      <c r="B41" s="2" t="s">
        <v>1</v>
      </c>
      <c r="C41" s="2" t="s">
        <v>2</v>
      </c>
      <c r="D41" s="2" t="s">
        <v>3</v>
      </c>
      <c r="E41" s="2" t="s">
        <v>22</v>
      </c>
    </row>
    <row r="42" spans="1:5" x14ac:dyDescent="0.3">
      <c r="B42" s="3">
        <v>1</v>
      </c>
      <c r="C42" s="3">
        <v>50</v>
      </c>
      <c r="D42" s="3">
        <v>55</v>
      </c>
      <c r="E42" s="5">
        <f>D42-C42</f>
        <v>5</v>
      </c>
    </row>
    <row r="43" spans="1:5" x14ac:dyDescent="0.3">
      <c r="B43" s="3">
        <v>2</v>
      </c>
      <c r="C43" s="3">
        <v>60</v>
      </c>
      <c r="D43" s="3">
        <v>65</v>
      </c>
      <c r="E43" s="3">
        <f t="shared" ref="E43:E47" si="0">D43-C43</f>
        <v>5</v>
      </c>
    </row>
    <row r="44" spans="1:5" x14ac:dyDescent="0.3">
      <c r="B44" s="3">
        <v>3</v>
      </c>
      <c r="C44" s="3">
        <v>58</v>
      </c>
      <c r="D44" s="3">
        <v>59</v>
      </c>
      <c r="E44" s="3">
        <f t="shared" si="0"/>
        <v>1</v>
      </c>
    </row>
    <row r="45" spans="1:5" x14ac:dyDescent="0.3">
      <c r="B45" s="3">
        <v>4</v>
      </c>
      <c r="C45" s="3">
        <v>55</v>
      </c>
      <c r="D45" s="3">
        <v>58</v>
      </c>
      <c r="E45" s="3">
        <f t="shared" si="0"/>
        <v>3</v>
      </c>
    </row>
    <row r="46" spans="1:5" x14ac:dyDescent="0.3">
      <c r="B46" s="3">
        <v>5</v>
      </c>
      <c r="C46" s="3">
        <v>62</v>
      </c>
      <c r="D46" s="3">
        <v>63</v>
      </c>
      <c r="E46" s="3">
        <f t="shared" si="0"/>
        <v>1</v>
      </c>
    </row>
    <row r="47" spans="1:5" x14ac:dyDescent="0.3">
      <c r="B47" s="4">
        <v>6</v>
      </c>
      <c r="C47" s="4">
        <v>56</v>
      </c>
      <c r="D47" s="4">
        <v>59</v>
      </c>
      <c r="E47" s="4">
        <f t="shared" si="0"/>
        <v>3</v>
      </c>
    </row>
    <row r="49" spans="1:3" x14ac:dyDescent="0.3">
      <c r="A49" t="s">
        <v>23</v>
      </c>
      <c r="B49" t="s">
        <v>24</v>
      </c>
    </row>
    <row r="50" spans="1:3" x14ac:dyDescent="0.3">
      <c r="B50">
        <f>AVERAGE(E42:E47)</f>
        <v>3</v>
      </c>
    </row>
    <row r="52" spans="1:3" x14ac:dyDescent="0.3">
      <c r="A52" t="s">
        <v>25</v>
      </c>
      <c r="B52" t="s">
        <v>26</v>
      </c>
    </row>
    <row r="54" spans="1:3" x14ac:dyDescent="0.3">
      <c r="B54" t="s">
        <v>27</v>
      </c>
      <c r="C54">
        <f>_xlfn.STDEV.S(E42:E47)</f>
        <v>1.7888543819998317</v>
      </c>
    </row>
    <row r="55" spans="1:3" x14ac:dyDescent="0.3">
      <c r="B55" t="s">
        <v>28</v>
      </c>
      <c r="C55">
        <f>_xlfn.VAR.S(E42:E47)</f>
        <v>3.2</v>
      </c>
    </row>
    <row r="57" spans="1:3" x14ac:dyDescent="0.3">
      <c r="A57" t="s">
        <v>29</v>
      </c>
      <c r="B57" t="s">
        <v>30</v>
      </c>
    </row>
    <row r="59" spans="1:3" x14ac:dyDescent="0.3">
      <c r="B59" t="s">
        <v>31</v>
      </c>
    </row>
    <row r="61" spans="1:3" x14ac:dyDescent="0.3">
      <c r="B61" t="s">
        <v>32</v>
      </c>
    </row>
    <row r="63" spans="1:3" x14ac:dyDescent="0.3">
      <c r="B63">
        <f>(B50/(C54/SQRT(6)))</f>
        <v>4.1079191812887457</v>
      </c>
    </row>
    <row r="65" spans="1:3" x14ac:dyDescent="0.3">
      <c r="A65" t="s">
        <v>33</v>
      </c>
      <c r="B65" t="s">
        <v>34</v>
      </c>
    </row>
    <row r="66" spans="1:3" x14ac:dyDescent="0.3">
      <c r="B66" t="s">
        <v>35</v>
      </c>
    </row>
    <row r="67" spans="1:3" x14ac:dyDescent="0.3">
      <c r="B67">
        <f>6-1</f>
        <v>5</v>
      </c>
    </row>
    <row r="69" spans="1:3" x14ac:dyDescent="0.3">
      <c r="A69" t="s">
        <v>36</v>
      </c>
      <c r="B69" t="s">
        <v>37</v>
      </c>
      <c r="C69">
        <v>2.5710000000000002</v>
      </c>
    </row>
    <row r="70" spans="1:3" x14ac:dyDescent="0.3">
      <c r="B70" t="s">
        <v>13</v>
      </c>
      <c r="C70">
        <v>0.05</v>
      </c>
    </row>
    <row r="71" spans="1:3" x14ac:dyDescent="0.3">
      <c r="B71" t="s">
        <v>38</v>
      </c>
      <c r="C71">
        <v>5</v>
      </c>
    </row>
    <row r="72" spans="1:3" x14ac:dyDescent="0.3">
      <c r="B72" t="s">
        <v>39</v>
      </c>
      <c r="C72" t="s">
        <v>40</v>
      </c>
    </row>
    <row r="74" spans="1:3" x14ac:dyDescent="0.3">
      <c r="A74" t="s">
        <v>41</v>
      </c>
      <c r="B74" t="s">
        <v>42</v>
      </c>
    </row>
    <row r="76" spans="1:3" x14ac:dyDescent="0.3">
      <c r="B76" t="s">
        <v>43</v>
      </c>
      <c r="C76">
        <f>B63</f>
        <v>4.1079191812887457</v>
      </c>
    </row>
    <row r="77" spans="1:3" x14ac:dyDescent="0.3">
      <c r="B77" t="s">
        <v>44</v>
      </c>
      <c r="C77">
        <f>C69</f>
        <v>2.5710000000000002</v>
      </c>
    </row>
    <row r="79" spans="1:3" x14ac:dyDescent="0.3">
      <c r="B79" t="s">
        <v>45</v>
      </c>
    </row>
    <row r="80" spans="1:3" x14ac:dyDescent="0.3">
      <c r="B80" t="s">
        <v>46</v>
      </c>
    </row>
    <row r="81" spans="1:4" x14ac:dyDescent="0.3">
      <c r="B81" t="s">
        <v>16</v>
      </c>
    </row>
    <row r="83" spans="1:4" x14ac:dyDescent="0.3">
      <c r="B83" t="s">
        <v>17</v>
      </c>
    </row>
    <row r="86" spans="1:4" x14ac:dyDescent="0.3">
      <c r="A86" t="s">
        <v>47</v>
      </c>
    </row>
    <row r="88" spans="1:4" x14ac:dyDescent="0.3">
      <c r="A88" s="6" t="s">
        <v>48</v>
      </c>
      <c r="B88" s="7" t="s">
        <v>49</v>
      </c>
      <c r="C88" s="7" t="s">
        <v>50</v>
      </c>
      <c r="D88" s="7" t="s">
        <v>51</v>
      </c>
    </row>
    <row r="89" spans="1:4" x14ac:dyDescent="0.3">
      <c r="A89" s="8" t="s">
        <v>52</v>
      </c>
      <c r="B89" s="3">
        <v>30</v>
      </c>
      <c r="C89" s="3">
        <v>20</v>
      </c>
      <c r="D89" s="3">
        <v>50</v>
      </c>
    </row>
    <row r="90" spans="1:4" x14ac:dyDescent="0.3">
      <c r="A90" s="8" t="s">
        <v>53</v>
      </c>
      <c r="B90" s="3">
        <v>10</v>
      </c>
      <c r="C90" s="3">
        <v>40</v>
      </c>
      <c r="D90" s="3">
        <v>50</v>
      </c>
    </row>
    <row r="91" spans="1:4" x14ac:dyDescent="0.3">
      <c r="A91" s="9" t="s">
        <v>51</v>
      </c>
      <c r="B91" s="4">
        <v>40</v>
      </c>
      <c r="C91" s="4">
        <v>60</v>
      </c>
      <c r="D91" s="4">
        <v>100</v>
      </c>
    </row>
    <row r="92" spans="1:4" x14ac:dyDescent="0.3">
      <c r="A92" s="1" t="s">
        <v>54</v>
      </c>
    </row>
    <row r="93" spans="1:4" x14ac:dyDescent="0.3">
      <c r="A93" s="1"/>
    </row>
    <row r="94" spans="1:4" x14ac:dyDescent="0.3">
      <c r="A94" t="s">
        <v>19</v>
      </c>
      <c r="B94" t="s">
        <v>7</v>
      </c>
    </row>
    <row r="96" spans="1:4" x14ac:dyDescent="0.3">
      <c r="B96" t="s">
        <v>55</v>
      </c>
    </row>
    <row r="97" spans="1:4" x14ac:dyDescent="0.3">
      <c r="B97" t="s">
        <v>56</v>
      </c>
    </row>
    <row r="99" spans="1:4" x14ac:dyDescent="0.3">
      <c r="A99" t="s">
        <v>20</v>
      </c>
      <c r="B99" t="s">
        <v>57</v>
      </c>
    </row>
    <row r="101" spans="1:4" x14ac:dyDescent="0.3">
      <c r="B101" t="s">
        <v>58</v>
      </c>
      <c r="C101" t="s">
        <v>59</v>
      </c>
    </row>
    <row r="103" spans="1:4" x14ac:dyDescent="0.3">
      <c r="A103" t="s">
        <v>60</v>
      </c>
      <c r="B103" s="2" t="s">
        <v>61</v>
      </c>
      <c r="C103" s="2" t="s">
        <v>49</v>
      </c>
      <c r="D103" s="10" t="s">
        <v>50</v>
      </c>
    </row>
    <row r="104" spans="1:4" x14ac:dyDescent="0.3">
      <c r="B104" s="3" t="s">
        <v>52</v>
      </c>
      <c r="C104" s="3">
        <v>20</v>
      </c>
      <c r="D104" s="11">
        <v>30</v>
      </c>
    </row>
    <row r="105" spans="1:4" x14ac:dyDescent="0.3">
      <c r="B105" s="4" t="s">
        <v>53</v>
      </c>
      <c r="C105" s="4">
        <v>20</v>
      </c>
      <c r="D105" s="12">
        <v>30</v>
      </c>
    </row>
    <row r="107" spans="1:4" x14ac:dyDescent="0.3">
      <c r="B107" t="s">
        <v>62</v>
      </c>
      <c r="D107">
        <f>(50*40)/100</f>
        <v>20</v>
      </c>
    </row>
    <row r="108" spans="1:4" x14ac:dyDescent="0.3">
      <c r="B108" t="s">
        <v>63</v>
      </c>
      <c r="D108">
        <f>(50*60)/100</f>
        <v>30</v>
      </c>
    </row>
    <row r="109" spans="1:4" x14ac:dyDescent="0.3">
      <c r="B109" t="s">
        <v>64</v>
      </c>
      <c r="D109">
        <f>(50*40)/100</f>
        <v>20</v>
      </c>
    </row>
    <row r="110" spans="1:4" x14ac:dyDescent="0.3">
      <c r="B110" t="s">
        <v>65</v>
      </c>
      <c r="D110">
        <f>(50*60)/100</f>
        <v>30</v>
      </c>
    </row>
    <row r="112" spans="1:4" x14ac:dyDescent="0.3">
      <c r="A112" t="s">
        <v>66</v>
      </c>
      <c r="B112" t="s">
        <v>67</v>
      </c>
    </row>
    <row r="113" spans="1:8" x14ac:dyDescent="0.3">
      <c r="B113" t="s">
        <v>68</v>
      </c>
    </row>
    <row r="115" spans="1:8" x14ac:dyDescent="0.3">
      <c r="B115" s="13"/>
      <c r="C115" s="10"/>
      <c r="D115" s="2" t="s">
        <v>69</v>
      </c>
      <c r="E115" s="2" t="s">
        <v>70</v>
      </c>
      <c r="F115" s="2" t="s">
        <v>71</v>
      </c>
      <c r="G115" s="2" t="s">
        <v>72</v>
      </c>
      <c r="H115" s="10" t="s">
        <v>73</v>
      </c>
    </row>
    <row r="116" spans="1:8" x14ac:dyDescent="0.3">
      <c r="B116" s="8" t="s">
        <v>62</v>
      </c>
      <c r="C116" s="11"/>
      <c r="D116" s="3">
        <v>30</v>
      </c>
      <c r="E116" s="3">
        <v>20</v>
      </c>
      <c r="F116" s="3">
        <f>D116-E116</f>
        <v>10</v>
      </c>
      <c r="G116" s="3">
        <v>100</v>
      </c>
      <c r="H116" s="11">
        <f>G116/E116</f>
        <v>5</v>
      </c>
    </row>
    <row r="117" spans="1:8" x14ac:dyDescent="0.3">
      <c r="B117" s="8" t="s">
        <v>74</v>
      </c>
      <c r="C117" s="11"/>
      <c r="D117" s="3">
        <v>20</v>
      </c>
      <c r="E117" s="3">
        <v>30</v>
      </c>
      <c r="F117" s="3">
        <f>D117-E117</f>
        <v>-10</v>
      </c>
      <c r="G117" s="3">
        <v>100</v>
      </c>
      <c r="H117" s="11">
        <f>G117/E117</f>
        <v>3.3333333333333335</v>
      </c>
    </row>
    <row r="118" spans="1:8" x14ac:dyDescent="0.3">
      <c r="B118" s="8" t="s">
        <v>64</v>
      </c>
      <c r="C118" s="11"/>
      <c r="D118" s="3">
        <v>10</v>
      </c>
      <c r="E118" s="3">
        <v>20</v>
      </c>
      <c r="F118" s="3">
        <f>D118-E118</f>
        <v>-10</v>
      </c>
      <c r="G118" s="3">
        <v>100</v>
      </c>
      <c r="H118" s="11">
        <f>G118/E118</f>
        <v>5</v>
      </c>
    </row>
    <row r="119" spans="1:8" x14ac:dyDescent="0.3">
      <c r="B119" s="9" t="s">
        <v>65</v>
      </c>
      <c r="C119" s="12"/>
      <c r="D119" s="4">
        <v>40</v>
      </c>
      <c r="E119" s="4">
        <v>30</v>
      </c>
      <c r="F119" s="4">
        <f>D119-E119</f>
        <v>10</v>
      </c>
      <c r="G119" s="4">
        <v>100</v>
      </c>
      <c r="H119" s="12">
        <f>G119/E119</f>
        <v>3.3333333333333335</v>
      </c>
    </row>
    <row r="120" spans="1:8" x14ac:dyDescent="0.3">
      <c r="H120" s="1">
        <f>SUM(H116:H119)</f>
        <v>16.666666666666668</v>
      </c>
    </row>
    <row r="122" spans="1:8" x14ac:dyDescent="0.3">
      <c r="A122" t="s">
        <v>25</v>
      </c>
      <c r="B122" t="s">
        <v>75</v>
      </c>
    </row>
    <row r="123" spans="1:8" x14ac:dyDescent="0.3">
      <c r="B123" t="s">
        <v>76</v>
      </c>
    </row>
    <row r="124" spans="1:8" x14ac:dyDescent="0.3">
      <c r="B124">
        <f>(2-1)*(2-1)</f>
        <v>1</v>
      </c>
    </row>
    <row r="126" spans="1:8" x14ac:dyDescent="0.3">
      <c r="B126" t="s">
        <v>77</v>
      </c>
      <c r="D126" t="s">
        <v>78</v>
      </c>
    </row>
    <row r="128" spans="1:8" x14ac:dyDescent="0.3">
      <c r="C128" t="s">
        <v>13</v>
      </c>
      <c r="D128">
        <v>0.05</v>
      </c>
    </row>
    <row r="129" spans="2:4" x14ac:dyDescent="0.3">
      <c r="C129" t="s">
        <v>38</v>
      </c>
      <c r="D129">
        <v>1</v>
      </c>
    </row>
    <row r="131" spans="2:4" x14ac:dyDescent="0.3">
      <c r="B131" t="s">
        <v>79</v>
      </c>
      <c r="C131">
        <f>H120</f>
        <v>16.666666666666668</v>
      </c>
    </row>
    <row r="132" spans="2:4" x14ac:dyDescent="0.3">
      <c r="B132" t="s">
        <v>80</v>
      </c>
      <c r="C132">
        <v>3.8410000000000002</v>
      </c>
    </row>
    <row r="134" spans="2:4" x14ac:dyDescent="0.3">
      <c r="B134" t="s">
        <v>81</v>
      </c>
    </row>
    <row r="136" spans="2:4" x14ac:dyDescent="0.3">
      <c r="B136" t="s">
        <v>46</v>
      </c>
    </row>
    <row r="137" spans="2:4" x14ac:dyDescent="0.3">
      <c r="B137" t="s">
        <v>16</v>
      </c>
    </row>
    <row r="139" spans="2:4" x14ac:dyDescent="0.3">
      <c r="B13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aaisha kumari</dc:creator>
  <cp:lastModifiedBy>aaisha kumari</cp:lastModifiedBy>
  <dcterms:created xsi:type="dcterms:W3CDTF">2026-01-20T16:40:49Z</dcterms:created>
  <dcterms:modified xsi:type="dcterms:W3CDTF">2026-01-20T16:45:10Z</dcterms:modified>
</cp:coreProperties>
</file>